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d85e50bb4bd89b/1. projects (new)/1. SB HC/7. 연구비/2006년 디자인산업기술개발사업/"/>
    </mc:Choice>
  </mc:AlternateContent>
  <xr:revisionPtr revIDLastSave="201" documentId="8_{D5FC8C8C-CB13-4E10-B890-FFF61716A2BB}" xr6:coauthVersionLast="47" xr6:coauthVersionMax="47" xr10:uidLastSave="{75208772-1ED3-4AF8-94EE-02ECE0D068F8}"/>
  <bookViews>
    <workbookView xWindow="51480" yWindow="-120" windowWidth="51840" windowHeight="21120" xr2:uid="{17230FE6-188B-4B51-9DC9-904FCD1A6C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G28" i="2"/>
  <c r="F28" i="2"/>
  <c r="E28" i="2"/>
  <c r="D28" i="2"/>
  <c r="H23" i="2"/>
  <c r="G23" i="2"/>
  <c r="F23" i="2"/>
  <c r="E23" i="2"/>
  <c r="D23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4" i="2"/>
  <c r="H25" i="2"/>
  <c r="H26" i="2"/>
  <c r="H27" i="2"/>
  <c r="H29" i="2"/>
  <c r="H7" i="2"/>
  <c r="H6" i="2"/>
  <c r="F15" i="1"/>
  <c r="H33" i="1"/>
  <c r="H32" i="1"/>
  <c r="H31" i="1"/>
  <c r="H34" i="1" s="1"/>
  <c r="H30" i="1"/>
  <c r="H29" i="1"/>
  <c r="I34" i="1"/>
  <c r="J33" i="1"/>
  <c r="J32" i="1"/>
  <c r="J31" i="1"/>
  <c r="J30" i="1"/>
  <c r="J29" i="1"/>
  <c r="L11" i="1"/>
  <c r="K11" i="1"/>
  <c r="G17" i="1"/>
  <c r="G23" i="1" s="1"/>
  <c r="G25" i="1" s="1"/>
  <c r="F17" i="1"/>
  <c r="F23" i="1" s="1"/>
  <c r="F25" i="1" s="1"/>
  <c r="L8" i="1"/>
  <c r="L9" i="1" s="1"/>
  <c r="K8" i="1"/>
  <c r="K9" i="1" s="1"/>
  <c r="J34" i="1" l="1"/>
  <c r="K14" i="1"/>
</calcChain>
</file>

<file path=xl/sharedStrings.xml><?xml version="1.0" encoding="utf-8"?>
<sst xmlns="http://schemas.openxmlformats.org/spreadsheetml/2006/main" count="51" uniqueCount="41">
  <si>
    <t>1차년도</t>
    <phoneticPr fontId="2" type="noConversion"/>
  </si>
  <si>
    <t>2차년도</t>
    <phoneticPr fontId="2" type="noConversion"/>
  </si>
  <si>
    <t>정부출연금</t>
    <phoneticPr fontId="2" type="noConversion"/>
  </si>
  <si>
    <t>민간 부담금</t>
    <phoneticPr fontId="2" type="noConversion"/>
  </si>
  <si>
    <t>현금</t>
    <phoneticPr fontId="2" type="noConversion"/>
  </si>
  <si>
    <t>현물</t>
    <phoneticPr fontId="2" type="noConversion"/>
  </si>
  <si>
    <t>소계</t>
    <phoneticPr fontId="2" type="noConversion"/>
  </si>
  <si>
    <t>합계</t>
    <phoneticPr fontId="2" type="noConversion"/>
  </si>
  <si>
    <t>내부인건비 (A)</t>
    <phoneticPr fontId="2" type="noConversion"/>
  </si>
  <si>
    <t>외부인건비 (B)</t>
    <phoneticPr fontId="2" type="noConversion"/>
  </si>
  <si>
    <t>인건비 비율 (E1/M)</t>
    <phoneticPr fontId="2" type="noConversion"/>
  </si>
  <si>
    <t>총 인건비(E1=A+B)</t>
    <phoneticPr fontId="2" type="noConversion"/>
  </si>
  <si>
    <t xml:space="preserve">현금 </t>
    <phoneticPr fontId="2" type="noConversion"/>
  </si>
  <si>
    <t>연구시설 장비</t>
    <phoneticPr fontId="2" type="noConversion"/>
  </si>
  <si>
    <t>연구재료비(G)</t>
    <phoneticPr fontId="2" type="noConversion"/>
  </si>
  <si>
    <t>연구활동비(H)</t>
    <phoneticPr fontId="2" type="noConversion"/>
  </si>
  <si>
    <t>연구수당(I)</t>
    <phoneticPr fontId="2" type="noConversion"/>
  </si>
  <si>
    <t>직접비소계</t>
    <phoneticPr fontId="2" type="noConversion"/>
  </si>
  <si>
    <t>직접비</t>
    <phoneticPr fontId="2" type="noConversion"/>
  </si>
  <si>
    <t>연구기밸비 총액(M=K+L)</t>
    <phoneticPr fontId="2" type="noConversion"/>
  </si>
  <si>
    <t>간접비(L)</t>
    <phoneticPr fontId="2" type="noConversion"/>
  </si>
  <si>
    <t>인건비의 20% 이내</t>
    <phoneticPr fontId="2" type="noConversion"/>
  </si>
  <si>
    <t>이혜원</t>
    <phoneticPr fontId="2" type="noConversion"/>
  </si>
  <si>
    <t>김지현</t>
    <phoneticPr fontId="2" type="noConversion"/>
  </si>
  <si>
    <t>백진주</t>
    <phoneticPr fontId="2" type="noConversion"/>
  </si>
  <si>
    <t>과장</t>
    <phoneticPr fontId="2" type="noConversion"/>
  </si>
  <si>
    <t>대리</t>
    <phoneticPr fontId="2" type="noConversion"/>
  </si>
  <si>
    <t>채용현</t>
    <phoneticPr fontId="2" type="noConversion"/>
  </si>
  <si>
    <t>대표이사</t>
    <phoneticPr fontId="2" type="noConversion"/>
  </si>
  <si>
    <t>김기성</t>
    <phoneticPr fontId="2" type="noConversion"/>
  </si>
  <si>
    <t>이사</t>
    <phoneticPr fontId="2" type="noConversion"/>
  </si>
  <si>
    <t>급여총액</t>
    <phoneticPr fontId="2" type="noConversion"/>
  </si>
  <si>
    <t>참여기간</t>
    <phoneticPr fontId="2" type="noConversion"/>
  </si>
  <si>
    <t>참여율</t>
    <phoneticPr fontId="2" type="noConversion"/>
  </si>
  <si>
    <t>계</t>
    <phoneticPr fontId="2" type="noConversion"/>
  </si>
  <si>
    <t>1단계</t>
  </si>
  <si>
    <t>2단계</t>
  </si>
  <si>
    <t>1차년도</t>
  </si>
  <si>
    <t>2차년도</t>
  </si>
  <si>
    <t>3차년도</t>
  </si>
  <si>
    <t>연구수당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</si>
</sst>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0" formatCode="0.0%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0" fillId="0" borderId="1" xfId="0" applyNumberFormat="1" applyBorder="1">
      <alignment vertical="center"/>
    </xf>
    <xf numFmtId="41" fontId="0" fillId="0" borderId="1" xfId="1" applyFont="1" applyBorder="1">
      <alignment vertical="center"/>
    </xf>
    <xf numFmtId="9" fontId="0" fillId="0" borderId="0" xfId="0" applyNumberFormat="1">
      <alignment vertical="center"/>
    </xf>
    <xf numFmtId="41" fontId="0" fillId="0" borderId="0" xfId="0" applyNumberFormat="1">
      <alignment vertical="center"/>
    </xf>
    <xf numFmtId="41" fontId="0" fillId="0" borderId="0" xfId="1" applyFont="1">
      <alignment vertical="center"/>
    </xf>
    <xf numFmtId="41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2" applyFo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3" fontId="3" fillId="0" borderId="5" xfId="0" applyNumberFormat="1" applyFont="1" applyBorder="1" applyAlignment="1">
      <alignment vertical="center" wrapText="1"/>
    </xf>
    <xf numFmtId="3" fontId="3" fillId="0" borderId="6" xfId="0" applyNumberFormat="1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3" fontId="4" fillId="2" borderId="5" xfId="0" applyNumberFormat="1" applyFont="1" applyFill="1" applyBorder="1" applyAlignment="1">
      <alignment vertical="center" wrapText="1"/>
    </xf>
    <xf numFmtId="3" fontId="4" fillId="2" borderId="6" xfId="0" applyNumberFormat="1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180" fontId="3" fillId="0" borderId="5" xfId="2" applyNumberFormat="1" applyFont="1" applyBorder="1" applyAlignment="1">
      <alignment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15</xdr:row>
      <xdr:rowOff>95249</xdr:rowOff>
    </xdr:from>
    <xdr:to>
      <xdr:col>24</xdr:col>
      <xdr:colOff>449916</xdr:colOff>
      <xdr:row>24</xdr:row>
      <xdr:rowOff>167952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7DCB280-2341-42C1-E3E2-DB51AD8D6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6891" y="3220640"/>
          <a:ext cx="11177447" cy="194793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94C0-D168-424C-BF80-42C3DD497C37}">
  <dimension ref="C4:L34"/>
  <sheetViews>
    <sheetView tabSelected="1" topLeftCell="A10" zoomScale="160" zoomScaleNormal="160" workbookViewId="0">
      <selection activeCell="J30" sqref="J30"/>
    </sheetView>
  </sheetViews>
  <sheetFormatPr defaultRowHeight="16.5" x14ac:dyDescent="0.3"/>
  <cols>
    <col min="4" max="4" width="14.375" bestFit="1" customWidth="1"/>
    <col min="6" max="7" width="13" bestFit="1" customWidth="1"/>
    <col min="8" max="8" width="9.375" bestFit="1" customWidth="1"/>
    <col min="9" max="9" width="11.625" bestFit="1" customWidth="1"/>
    <col min="10" max="12" width="11.375" bestFit="1" customWidth="1"/>
  </cols>
  <sheetData>
    <row r="4" spans="3:12" x14ac:dyDescent="0.3">
      <c r="K4" t="s">
        <v>0</v>
      </c>
      <c r="L4" t="s">
        <v>1</v>
      </c>
    </row>
    <row r="5" spans="3:12" x14ac:dyDescent="0.3">
      <c r="I5" s="8" t="s">
        <v>2</v>
      </c>
      <c r="J5" s="8"/>
      <c r="K5" s="1">
        <v>140000000</v>
      </c>
      <c r="L5" s="1">
        <v>120000000</v>
      </c>
    </row>
    <row r="6" spans="3:12" x14ac:dyDescent="0.3">
      <c r="I6" t="s">
        <v>3</v>
      </c>
      <c r="J6" t="s">
        <v>4</v>
      </c>
      <c r="K6" s="1">
        <v>6896000</v>
      </c>
      <c r="L6" s="1">
        <v>5911000</v>
      </c>
    </row>
    <row r="7" spans="3:12" x14ac:dyDescent="0.3">
      <c r="J7" t="s">
        <v>5</v>
      </c>
      <c r="K7" s="1">
        <v>62064000</v>
      </c>
      <c r="L7" s="1">
        <v>53199000</v>
      </c>
    </row>
    <row r="8" spans="3:12" x14ac:dyDescent="0.3">
      <c r="J8" t="s">
        <v>6</v>
      </c>
      <c r="K8" s="1">
        <f>SUM(K6:K7)</f>
        <v>68960000</v>
      </c>
      <c r="L8" s="1">
        <f>SUM(L6:L7)</f>
        <v>59110000</v>
      </c>
    </row>
    <row r="9" spans="3:12" x14ac:dyDescent="0.3">
      <c r="I9" s="8" t="s">
        <v>7</v>
      </c>
      <c r="J9" s="8"/>
      <c r="K9" s="1">
        <f>SUM(K5,K8)</f>
        <v>208960000</v>
      </c>
      <c r="L9" s="1">
        <f>SUM(L5,L8)</f>
        <v>179110000</v>
      </c>
    </row>
    <row r="11" spans="3:12" x14ac:dyDescent="0.3">
      <c r="J11" t="s">
        <v>4</v>
      </c>
      <c r="K11" s="1">
        <f>K5+K6</f>
        <v>146896000</v>
      </c>
      <c r="L11" s="1">
        <f>L5+L6</f>
        <v>125911000</v>
      </c>
    </row>
    <row r="13" spans="3:12" x14ac:dyDescent="0.3">
      <c r="C13" s="3"/>
      <c r="D13" s="3"/>
      <c r="E13" s="3"/>
      <c r="F13" s="3" t="s">
        <v>0</v>
      </c>
      <c r="G13" s="3" t="s">
        <v>1</v>
      </c>
    </row>
    <row r="14" spans="3:12" x14ac:dyDescent="0.3">
      <c r="C14" s="7" t="s">
        <v>18</v>
      </c>
      <c r="D14" s="7" t="s">
        <v>8</v>
      </c>
      <c r="E14" s="3" t="s">
        <v>12</v>
      </c>
      <c r="F14" s="3">
        <v>85000000</v>
      </c>
      <c r="G14" s="3">
        <v>90000000</v>
      </c>
      <c r="K14">
        <f>K8/K9</f>
        <v>0.33001531393568145</v>
      </c>
    </row>
    <row r="15" spans="3:12" x14ac:dyDescent="0.3">
      <c r="C15" s="7"/>
      <c r="D15" s="7"/>
      <c r="E15" s="3" t="s">
        <v>5</v>
      </c>
      <c r="F15" s="3">
        <f>K7</f>
        <v>62064000</v>
      </c>
      <c r="G15" s="2">
        <v>53199000</v>
      </c>
    </row>
    <row r="16" spans="3:12" x14ac:dyDescent="0.3">
      <c r="C16" s="7"/>
      <c r="D16" s="3" t="s">
        <v>9</v>
      </c>
      <c r="E16" s="3" t="s">
        <v>4</v>
      </c>
      <c r="F16" s="3"/>
      <c r="G16" s="3"/>
    </row>
    <row r="17" spans="3:10" x14ac:dyDescent="0.3">
      <c r="C17" s="7"/>
      <c r="D17" s="7" t="s">
        <v>11</v>
      </c>
      <c r="E17" s="7"/>
      <c r="F17" s="3">
        <f>SUM(F14:F16)</f>
        <v>147064000</v>
      </c>
      <c r="G17" s="3">
        <f>SUM(G14:G16)</f>
        <v>143199000</v>
      </c>
    </row>
    <row r="18" spans="3:10" x14ac:dyDescent="0.3">
      <c r="C18" s="7"/>
      <c r="D18" s="7" t="s">
        <v>10</v>
      </c>
      <c r="E18" s="7"/>
      <c r="F18" s="3"/>
      <c r="G18" s="3"/>
    </row>
    <row r="19" spans="3:10" x14ac:dyDescent="0.3">
      <c r="C19" s="7"/>
      <c r="D19" s="7" t="s">
        <v>13</v>
      </c>
      <c r="E19" s="7"/>
      <c r="F19" s="3">
        <v>20000000</v>
      </c>
      <c r="G19" s="3"/>
    </row>
    <row r="20" spans="3:10" x14ac:dyDescent="0.3">
      <c r="C20" s="7"/>
      <c r="D20" s="7" t="s">
        <v>14</v>
      </c>
      <c r="E20" s="7"/>
      <c r="F20" s="3"/>
      <c r="G20" s="3"/>
    </row>
    <row r="21" spans="3:10" x14ac:dyDescent="0.3">
      <c r="C21" s="7"/>
      <c r="D21" s="7" t="s">
        <v>15</v>
      </c>
      <c r="E21" s="7"/>
      <c r="F21" s="3">
        <v>20000000</v>
      </c>
      <c r="G21" s="3">
        <v>20000000</v>
      </c>
    </row>
    <row r="22" spans="3:10" x14ac:dyDescent="0.3">
      <c r="C22" s="7"/>
      <c r="D22" s="7" t="s">
        <v>16</v>
      </c>
      <c r="E22" s="7"/>
      <c r="F22" s="3">
        <v>11896000</v>
      </c>
      <c r="G22" s="3">
        <v>5911000</v>
      </c>
      <c r="H22" s="4" t="s">
        <v>21</v>
      </c>
    </row>
    <row r="23" spans="3:10" x14ac:dyDescent="0.3">
      <c r="C23" s="7"/>
      <c r="D23" s="7" t="s">
        <v>17</v>
      </c>
      <c r="E23" s="7"/>
      <c r="F23" s="3">
        <f>SUM(F17:F22)</f>
        <v>198960000</v>
      </c>
      <c r="G23" s="3">
        <f>SUM(G17:G22)</f>
        <v>169110000</v>
      </c>
    </row>
    <row r="24" spans="3:10" x14ac:dyDescent="0.3">
      <c r="C24" s="7" t="s">
        <v>20</v>
      </c>
      <c r="D24" s="7"/>
      <c r="E24" s="7"/>
      <c r="F24" s="3">
        <v>10000000</v>
      </c>
      <c r="G24" s="3">
        <v>10000000</v>
      </c>
    </row>
    <row r="25" spans="3:10" x14ac:dyDescent="0.3">
      <c r="C25" s="7" t="s">
        <v>19</v>
      </c>
      <c r="D25" s="7"/>
      <c r="E25" s="7"/>
      <c r="F25" s="3">
        <f>F23+F24</f>
        <v>208960000</v>
      </c>
      <c r="G25" s="3">
        <f>G23+G24</f>
        <v>179110000</v>
      </c>
      <c r="H25" s="5"/>
    </row>
    <row r="26" spans="3:10" x14ac:dyDescent="0.3">
      <c r="G26" s="6">
        <v>179110000</v>
      </c>
    </row>
    <row r="27" spans="3:10" x14ac:dyDescent="0.3">
      <c r="G27" s="5"/>
    </row>
    <row r="28" spans="3:10" x14ac:dyDescent="0.3">
      <c r="C28" s="6"/>
      <c r="D28" s="6"/>
      <c r="E28" s="6" t="s">
        <v>31</v>
      </c>
      <c r="F28" s="6" t="s">
        <v>32</v>
      </c>
      <c r="G28" s="6" t="s">
        <v>33</v>
      </c>
      <c r="H28" s="6" t="s">
        <v>4</v>
      </c>
      <c r="I28" s="6" t="s">
        <v>5</v>
      </c>
      <c r="J28" s="6" t="s">
        <v>34</v>
      </c>
    </row>
    <row r="29" spans="3:10" x14ac:dyDescent="0.3">
      <c r="C29" s="6" t="s">
        <v>27</v>
      </c>
      <c r="D29" s="6" t="s">
        <v>28</v>
      </c>
      <c r="E29" s="6">
        <v>35000</v>
      </c>
      <c r="F29" s="6">
        <v>9</v>
      </c>
      <c r="G29" s="9">
        <v>0.2</v>
      </c>
      <c r="H29" s="6">
        <f>J29-I29</f>
        <v>3186</v>
      </c>
      <c r="I29" s="6">
        <v>2064</v>
      </c>
      <c r="J29" s="6">
        <f>(E29/12)*F29*G29</f>
        <v>5250</v>
      </c>
    </row>
    <row r="30" spans="3:10" x14ac:dyDescent="0.3">
      <c r="C30" s="6" t="s">
        <v>24</v>
      </c>
      <c r="D30" s="6" t="s">
        <v>25</v>
      </c>
      <c r="E30" s="6">
        <v>40000</v>
      </c>
      <c r="F30" s="6">
        <v>9</v>
      </c>
      <c r="G30" s="9">
        <v>1</v>
      </c>
      <c r="H30" s="6">
        <f t="shared" ref="H30:H33" si="0">J30-I30</f>
        <v>0</v>
      </c>
      <c r="I30" s="6">
        <v>30000</v>
      </c>
      <c r="J30" s="6">
        <f t="shared" ref="J30:J33" si="1">(E30/12)*F30*G30</f>
        <v>30000</v>
      </c>
    </row>
    <row r="31" spans="3:10" x14ac:dyDescent="0.3">
      <c r="C31" s="6" t="s">
        <v>22</v>
      </c>
      <c r="D31" s="6" t="s">
        <v>26</v>
      </c>
      <c r="E31" s="6">
        <v>40000</v>
      </c>
      <c r="F31" s="6">
        <v>9</v>
      </c>
      <c r="G31" s="9">
        <v>1</v>
      </c>
      <c r="H31" s="6">
        <f t="shared" si="0"/>
        <v>0</v>
      </c>
      <c r="I31" s="6">
        <v>30000</v>
      </c>
      <c r="J31" s="6">
        <f t="shared" si="1"/>
        <v>30000</v>
      </c>
    </row>
    <row r="32" spans="3:10" x14ac:dyDescent="0.3">
      <c r="C32" s="6" t="s">
        <v>23</v>
      </c>
      <c r="D32" s="6" t="s">
        <v>26</v>
      </c>
      <c r="E32" s="6">
        <v>37000</v>
      </c>
      <c r="F32" s="6">
        <v>9</v>
      </c>
      <c r="G32" s="9">
        <v>1</v>
      </c>
      <c r="H32" s="6">
        <f t="shared" si="0"/>
        <v>27750</v>
      </c>
      <c r="I32" s="6"/>
      <c r="J32" s="6">
        <f t="shared" si="1"/>
        <v>27750</v>
      </c>
    </row>
    <row r="33" spans="3:10" x14ac:dyDescent="0.3">
      <c r="C33" s="6" t="s">
        <v>29</v>
      </c>
      <c r="D33" s="6" t="s">
        <v>30</v>
      </c>
      <c r="E33" s="6">
        <v>75000</v>
      </c>
      <c r="F33" s="6">
        <v>9</v>
      </c>
      <c r="G33" s="9">
        <v>0.96099999999999997</v>
      </c>
      <c r="H33" s="6">
        <f t="shared" si="0"/>
        <v>54056.25</v>
      </c>
      <c r="I33" s="6"/>
      <c r="J33" s="6">
        <f t="shared" si="1"/>
        <v>54056.25</v>
      </c>
    </row>
    <row r="34" spans="3:10" x14ac:dyDescent="0.3">
      <c r="C34" s="6"/>
      <c r="D34" s="6"/>
      <c r="E34" s="6"/>
      <c r="F34" s="6"/>
      <c r="G34" s="6" t="s">
        <v>6</v>
      </c>
      <c r="H34" s="6">
        <f>SUM(H29:H33)</f>
        <v>84992.25</v>
      </c>
      <c r="I34" s="6">
        <f>SUM(I29:I33)</f>
        <v>62064</v>
      </c>
      <c r="J34" s="6">
        <f>SUM(J29:J33)</f>
        <v>147056.25</v>
      </c>
    </row>
  </sheetData>
  <mergeCells count="13">
    <mergeCell ref="I5:J5"/>
    <mergeCell ref="I9:J9"/>
    <mergeCell ref="D17:E17"/>
    <mergeCell ref="D18:E18"/>
    <mergeCell ref="D19:E19"/>
    <mergeCell ref="C25:E25"/>
    <mergeCell ref="D21:E21"/>
    <mergeCell ref="D22:E22"/>
    <mergeCell ref="D23:E23"/>
    <mergeCell ref="D14:D15"/>
    <mergeCell ref="C14:C23"/>
    <mergeCell ref="C24:E24"/>
    <mergeCell ref="D20:E2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151B-57CA-4A0A-A5A6-9B66E8BF87F1}">
  <dimension ref="C3:H30"/>
  <sheetViews>
    <sheetView topLeftCell="A9" zoomScale="160" zoomScaleNormal="160" workbookViewId="0">
      <selection activeCell="D28" sqref="D28:H28"/>
    </sheetView>
  </sheetViews>
  <sheetFormatPr defaultRowHeight="16.5" x14ac:dyDescent="0.3"/>
  <cols>
    <col min="4" max="4" width="12.125" bestFit="1" customWidth="1"/>
    <col min="8" max="8" width="10.25" bestFit="1" customWidth="1"/>
  </cols>
  <sheetData>
    <row r="3" spans="3:8" ht="17.25" thickBot="1" x14ac:dyDescent="0.35"/>
    <row r="4" spans="3:8" ht="17.25" thickBot="1" x14ac:dyDescent="0.35">
      <c r="D4" s="10" t="s">
        <v>35</v>
      </c>
      <c r="E4" s="21" t="s">
        <v>36</v>
      </c>
      <c r="F4" s="20"/>
      <c r="G4" s="22"/>
    </row>
    <row r="5" spans="3:8" ht="17.25" thickBot="1" x14ac:dyDescent="0.35">
      <c r="C5" s="3"/>
      <c r="D5" s="11" t="s">
        <v>37</v>
      </c>
      <c r="E5" s="12" t="s">
        <v>37</v>
      </c>
      <c r="F5" s="12" t="s">
        <v>38</v>
      </c>
      <c r="G5" s="12" t="s">
        <v>39</v>
      </c>
    </row>
    <row r="6" spans="3:8" ht="17.25" thickBot="1" x14ac:dyDescent="0.35">
      <c r="D6" s="13">
        <v>80500</v>
      </c>
      <c r="E6" s="14">
        <v>90000</v>
      </c>
      <c r="F6" s="14">
        <v>90000</v>
      </c>
      <c r="G6" s="14">
        <v>90000</v>
      </c>
      <c r="H6" s="1">
        <f>SUM(D6:G6)</f>
        <v>350500</v>
      </c>
    </row>
    <row r="7" spans="3:8" ht="17.25" thickBot="1" x14ac:dyDescent="0.35">
      <c r="D7" s="13">
        <v>62064</v>
      </c>
      <c r="E7" s="14">
        <v>53199</v>
      </c>
      <c r="F7" s="14">
        <v>53199</v>
      </c>
      <c r="G7" s="14">
        <v>53199</v>
      </c>
      <c r="H7" s="1">
        <f>SUM(D7:G7)</f>
        <v>221661</v>
      </c>
    </row>
    <row r="8" spans="3:8" ht="17.25" thickBot="1" x14ac:dyDescent="0.35">
      <c r="D8" s="16"/>
      <c r="E8" s="17"/>
      <c r="F8" s="17"/>
      <c r="G8" s="17"/>
      <c r="H8" s="1">
        <f t="shared" ref="H8:H29" si="0">SUM(D8:G8)</f>
        <v>0</v>
      </c>
    </row>
    <row r="9" spans="3:8" ht="17.25" thickBot="1" x14ac:dyDescent="0.35">
      <c r="D9" s="16"/>
      <c r="E9" s="17"/>
      <c r="F9" s="17"/>
      <c r="G9" s="17"/>
      <c r="H9" s="1">
        <f t="shared" si="0"/>
        <v>0</v>
      </c>
    </row>
    <row r="10" spans="3:8" ht="17.25" thickBot="1" x14ac:dyDescent="0.35">
      <c r="D10" s="13">
        <v>147064</v>
      </c>
      <c r="E10" s="14">
        <v>143199</v>
      </c>
      <c r="F10" s="14">
        <v>143199</v>
      </c>
      <c r="G10" s="14">
        <v>143199</v>
      </c>
      <c r="H10" s="1">
        <f t="shared" si="0"/>
        <v>576661</v>
      </c>
    </row>
    <row r="11" spans="3:8" ht="17.25" thickBot="1" x14ac:dyDescent="0.35">
      <c r="D11" s="16"/>
      <c r="E11" s="17"/>
      <c r="F11" s="17"/>
      <c r="G11" s="17"/>
      <c r="H11" s="1">
        <f t="shared" si="0"/>
        <v>0</v>
      </c>
    </row>
    <row r="12" spans="3:8" ht="17.25" thickBot="1" x14ac:dyDescent="0.35">
      <c r="D12" s="16"/>
      <c r="E12" s="17"/>
      <c r="F12" s="17"/>
      <c r="G12" s="17"/>
      <c r="H12" s="1">
        <f t="shared" si="0"/>
        <v>0</v>
      </c>
    </row>
    <row r="13" spans="3:8" ht="17.25" thickBot="1" x14ac:dyDescent="0.35">
      <c r="D13" s="18">
        <v>147064</v>
      </c>
      <c r="E13" s="19">
        <v>179390</v>
      </c>
      <c r="F13" s="19">
        <v>179390</v>
      </c>
      <c r="G13" s="19">
        <v>179390</v>
      </c>
      <c r="H13" s="1">
        <f t="shared" si="0"/>
        <v>685234</v>
      </c>
    </row>
    <row r="14" spans="3:8" ht="17.25" thickBot="1" x14ac:dyDescent="0.35">
      <c r="D14" s="18">
        <v>147064</v>
      </c>
      <c r="E14" s="19">
        <v>179390</v>
      </c>
      <c r="F14" s="19">
        <v>179390</v>
      </c>
      <c r="G14" s="19">
        <v>179390</v>
      </c>
      <c r="H14" s="1">
        <f t="shared" si="0"/>
        <v>685234</v>
      </c>
    </row>
    <row r="15" spans="3:8" ht="17.25" thickBot="1" x14ac:dyDescent="0.35">
      <c r="D15" s="13">
        <v>20000</v>
      </c>
      <c r="E15" s="17"/>
      <c r="F15" s="17"/>
      <c r="G15" s="17"/>
      <c r="H15" s="1">
        <f t="shared" si="0"/>
        <v>20000</v>
      </c>
    </row>
    <row r="16" spans="3:8" ht="17.25" thickBot="1" x14ac:dyDescent="0.35">
      <c r="D16" s="16"/>
      <c r="E16" s="17"/>
      <c r="F16" s="17"/>
      <c r="G16" s="17"/>
      <c r="H16" s="1">
        <f t="shared" si="0"/>
        <v>0</v>
      </c>
    </row>
    <row r="17" spans="3:8" ht="17.25" thickBot="1" x14ac:dyDescent="0.35">
      <c r="D17" s="16"/>
      <c r="E17" s="17"/>
      <c r="F17" s="17"/>
      <c r="G17" s="17"/>
      <c r="H17" s="1">
        <f t="shared" si="0"/>
        <v>0</v>
      </c>
    </row>
    <row r="18" spans="3:8" ht="17.25" thickBot="1" x14ac:dyDescent="0.35">
      <c r="D18" s="16"/>
      <c r="E18" s="17"/>
      <c r="F18" s="17"/>
      <c r="G18" s="17"/>
      <c r="H18" s="1">
        <f t="shared" si="0"/>
        <v>0</v>
      </c>
    </row>
    <row r="19" spans="3:8" ht="17.25" thickBot="1" x14ac:dyDescent="0.35">
      <c r="D19" s="16"/>
      <c r="E19" s="17"/>
      <c r="F19" s="17"/>
      <c r="G19" s="17"/>
      <c r="H19" s="1">
        <f t="shared" si="0"/>
        <v>0</v>
      </c>
    </row>
    <row r="20" spans="3:8" ht="17.25" thickBot="1" x14ac:dyDescent="0.35">
      <c r="D20" s="13">
        <v>20000</v>
      </c>
      <c r="E20" s="14">
        <v>20000</v>
      </c>
      <c r="F20" s="14">
        <v>20000</v>
      </c>
      <c r="G20" s="14">
        <v>20000</v>
      </c>
      <c r="H20" s="1">
        <f t="shared" si="0"/>
        <v>80000</v>
      </c>
    </row>
    <row r="21" spans="3:8" ht="17.25" thickBot="1" x14ac:dyDescent="0.35">
      <c r="D21" s="16"/>
      <c r="E21" s="17"/>
      <c r="F21" s="17"/>
      <c r="G21" s="17"/>
      <c r="H21" s="1">
        <f t="shared" si="0"/>
        <v>0</v>
      </c>
    </row>
    <row r="22" spans="3:8" ht="17.25" thickBot="1" x14ac:dyDescent="0.35">
      <c r="C22" t="s">
        <v>40</v>
      </c>
      <c r="D22" s="13">
        <v>11896</v>
      </c>
      <c r="E22" s="14">
        <v>5911</v>
      </c>
      <c r="F22" s="14">
        <v>5911</v>
      </c>
      <c r="G22" s="14">
        <v>5911</v>
      </c>
      <c r="H22" s="1">
        <f t="shared" si="0"/>
        <v>29629</v>
      </c>
    </row>
    <row r="23" spans="3:8" ht="17.25" thickBot="1" x14ac:dyDescent="0.35">
      <c r="D23" s="23">
        <f>D22/D14</f>
        <v>8.0889952673665888E-2</v>
      </c>
      <c r="E23" s="23">
        <f t="shared" ref="E23:H23" si="1">E22/E14</f>
        <v>3.2950554657450247E-2</v>
      </c>
      <c r="F23" s="23">
        <f t="shared" si="1"/>
        <v>3.2950554657450247E-2</v>
      </c>
      <c r="G23" s="23">
        <f t="shared" si="1"/>
        <v>3.2950554657450247E-2</v>
      </c>
      <c r="H23" s="23">
        <f t="shared" si="1"/>
        <v>4.323924382035918E-2</v>
      </c>
    </row>
    <row r="24" spans="3:8" ht="17.25" thickBot="1" x14ac:dyDescent="0.35">
      <c r="D24" s="16"/>
      <c r="E24" s="17"/>
      <c r="F24" s="17"/>
      <c r="G24" s="17"/>
      <c r="H24" s="1">
        <f t="shared" si="0"/>
        <v>0</v>
      </c>
    </row>
    <row r="25" spans="3:8" ht="17.25" thickBot="1" x14ac:dyDescent="0.35">
      <c r="D25" s="16"/>
      <c r="E25" s="17"/>
      <c r="F25" s="17"/>
      <c r="G25" s="17"/>
      <c r="H25" s="1">
        <f t="shared" si="0"/>
        <v>0</v>
      </c>
    </row>
    <row r="26" spans="3:8" ht="17.25" thickBot="1" x14ac:dyDescent="0.35">
      <c r="D26" s="18">
        <v>198960</v>
      </c>
      <c r="E26" s="19">
        <v>169110</v>
      </c>
      <c r="F26" s="19">
        <v>169110</v>
      </c>
      <c r="G26" s="19">
        <v>169110</v>
      </c>
      <c r="H26" s="1">
        <f t="shared" si="0"/>
        <v>706290</v>
      </c>
    </row>
    <row r="27" spans="3:8" ht="17.25" thickBot="1" x14ac:dyDescent="0.35">
      <c r="D27" s="13">
        <v>10000</v>
      </c>
      <c r="E27" s="14">
        <v>10000</v>
      </c>
      <c r="F27" s="14">
        <v>10000</v>
      </c>
      <c r="G27" s="14">
        <v>10000</v>
      </c>
      <c r="H27" s="1">
        <f t="shared" si="0"/>
        <v>40000</v>
      </c>
    </row>
    <row r="28" spans="3:8" ht="17.25" thickBot="1" x14ac:dyDescent="0.35">
      <c r="D28" s="23">
        <f>D27/D26</f>
        <v>5.0261359067149174E-2</v>
      </c>
      <c r="E28" s="23">
        <f t="shared" ref="E28:H28" si="2">E27/E26</f>
        <v>5.9133108627520546E-2</v>
      </c>
      <c r="F28" s="23">
        <f t="shared" si="2"/>
        <v>5.9133108627520546E-2</v>
      </c>
      <c r="G28" s="23">
        <f t="shared" si="2"/>
        <v>5.9133108627520546E-2</v>
      </c>
      <c r="H28" s="23">
        <f t="shared" si="2"/>
        <v>5.6633960554446472E-2</v>
      </c>
    </row>
    <row r="29" spans="3:8" ht="17.25" thickBot="1" x14ac:dyDescent="0.35">
      <c r="D29" s="18">
        <v>208960</v>
      </c>
      <c r="E29" s="19">
        <v>179110</v>
      </c>
      <c r="F29" s="19">
        <v>179110</v>
      </c>
      <c r="G29" s="19">
        <v>179110</v>
      </c>
      <c r="H29" s="1">
        <f t="shared" si="0"/>
        <v>746290</v>
      </c>
    </row>
    <row r="30" spans="3:8" x14ac:dyDescent="0.3">
      <c r="D30" s="15"/>
    </row>
  </sheetData>
  <mergeCells count="1">
    <mergeCell ref="E4:G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길중 김</dc:creator>
  <cp:lastModifiedBy>길중 김</cp:lastModifiedBy>
  <dcterms:created xsi:type="dcterms:W3CDTF">2026-03-26T15:10:29Z</dcterms:created>
  <dcterms:modified xsi:type="dcterms:W3CDTF">2026-03-28T05:32:29Z</dcterms:modified>
</cp:coreProperties>
</file>